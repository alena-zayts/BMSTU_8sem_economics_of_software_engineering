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lena\Desktop\8_sem\economics_of_software_engineering\lab5\"/>
    </mc:Choice>
  </mc:AlternateContent>
  <bookViews>
    <workbookView xWindow="0" yWindow="0" windowWidth="18977" windowHeight="11391"/>
  </bookViews>
  <sheets>
    <sheet name="Лист1" sheetId="1" r:id="rId1"/>
  </sheets>
  <calcPr calcId="152511"/>
  <pivotCaches>
    <pivotCache cacheId="119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Подключение" type="5" refreshedVersion="5">
    <dbPr connection="Provider=MSOLAP.5;Persist Security Info=True;Data Source=C:\Users\alena\AppData\Local\Temp\VisualReportsTemporaryData\{94dc9468-39c0-ed11-9acf-38f9d3735cbb}\TaskTP.cub;MDX Compatibility=1;Safety Options=2;MDX Missing Member Mode=Error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<sst xmlns="http://schemas.openxmlformats.org/spreadsheetml/2006/main" count="40" uniqueCount="40">
  <si>
    <t>Базовые бюджетные затраты</t>
  </si>
  <si>
    <t>Данные</t>
  </si>
  <si>
    <t>Год</t>
  </si>
  <si>
    <t>2023</t>
  </si>
  <si>
    <t>Общий итог</t>
  </si>
  <si>
    <t>Бюджетная стоимость</t>
  </si>
  <si>
    <t>Затраты</t>
  </si>
  <si>
    <t>Квартал</t>
  </si>
  <si>
    <t>К1</t>
  </si>
  <si>
    <t>К2</t>
  </si>
  <si>
    <t>К3</t>
  </si>
  <si>
    <t>Неделя</t>
  </si>
  <si>
    <t>Неделя 9</t>
  </si>
  <si>
    <t>Неделя 10</t>
  </si>
  <si>
    <t>Неделя 11</t>
  </si>
  <si>
    <t>Неделя 12</t>
  </si>
  <si>
    <t>Неделя 13</t>
  </si>
  <si>
    <t>Фактические затраты</t>
  </si>
  <si>
    <t>К1 Итог</t>
  </si>
  <si>
    <t>К2 Итог</t>
  </si>
  <si>
    <t>К3 Итог</t>
  </si>
  <si>
    <t>2023 Итог</t>
  </si>
  <si>
    <t>Неделя 14</t>
  </si>
  <si>
    <t>Неделя 15</t>
  </si>
  <si>
    <t>Неделя 16</t>
  </si>
  <si>
    <t>Неделя 17</t>
  </si>
  <si>
    <t>Неделя 18</t>
  </si>
  <si>
    <t>Неделя 19</t>
  </si>
  <si>
    <t>Неделя 20</t>
  </si>
  <si>
    <t>Неделя 21</t>
  </si>
  <si>
    <t>Неделя 22</t>
  </si>
  <si>
    <t>Неделя 23</t>
  </si>
  <si>
    <t>Неделя 24</t>
  </si>
  <si>
    <t>Неделя 25</t>
  </si>
  <si>
    <t>Неделя 26</t>
  </si>
  <si>
    <t>Неделя 27</t>
  </si>
  <si>
    <t>Неделя 28</t>
  </si>
  <si>
    <t>Неделя 29</t>
  </si>
  <si>
    <t>Неделя 30</t>
  </si>
  <si>
    <t>Неделя 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</si>
</sst>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1" xfId="0" applyNumberFormat="1" applyBorder="1"/>
    <xf numFmtId="0" fontId="0" fillId="0" borderId="6" xfId="0" applyBorder="1"/>
    <xf numFmtId="0" fontId="0" fillId="0" borderId="5" xfId="0" applyNumberFormat="1" applyBorder="1"/>
    <xf numFmtId="0" fontId="0" fillId="0" borderId="7" xfId="0" applyBorder="1"/>
    <xf numFmtId="0" fontId="0" fillId="0" borderId="7" xfId="0" applyNumberFormat="1" applyBorder="1"/>
    <xf numFmtId="0" fontId="0" fillId="0" borderId="8" xfId="0" applyBorder="1"/>
    <xf numFmtId="0" fontId="0" fillId="0" borderId="9" xfId="0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0" xfId="0" applyNumberFormat="1"/>
    <xf numFmtId="0" fontId="0" fillId="0" borderId="12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алена зайцева" refreshedDate="44996.894357638892" createdVersion="5" refreshedVersion="5" recordCount="0" supportSubquery="1" supportAdvancedDrill="1">
  <cacheSource type="external" connectionId="1"/>
  <cacheFields count="7">
    <cacheField name="[Время].[по неделям].[Год]" caption="Год" numFmtId="0" level="1">
      <sharedItems count="1">
        <s v="[Время].[по неделям].[Год].&amp;[2023]" c="2023"/>
      </sharedItems>
    </cacheField>
    <cacheField name="[Время].[по неделям].[Квартал]" caption="Квартал" numFmtId="0" level="2">
      <sharedItems count="3">
        <s v="[Время].[по неделям].[Год].&amp;[2023].&amp;[К1]" c="К1"/>
        <s v="[Время].[по неделям].[Год].&amp;[2023].&amp;[К2]" c="К2"/>
        <s v="[Время].[по неделям].[Год].&amp;[2023].&amp;[К3]" c="К3"/>
      </sharedItems>
    </cacheField>
    <cacheField name="[Время].[по неделям].[Неделя]" caption="Неделя" numFmtId="0" level="3">
      <sharedItems count="23">
        <s v="[Время].[по неделям].[Год].&amp;[2023].&amp;[К1].&amp;[0]" c="Неделя 9"/>
        <s v="[Время].[по неделям].[Год].&amp;[2023].&amp;[К1].&amp;[1]" c="Неделя 10"/>
        <s v="[Время].[по неделям].[Год].&amp;[2023].&amp;[К1].&amp;[2]" c="Неделя 11"/>
        <s v="[Время].[по неделям].[Год].&amp;[2023].&amp;[К1].&amp;[3]" c="Неделя 12"/>
        <s v="[Время].[по неделям].[Год].&amp;[2023].&amp;[К1].&amp;[4]" c="Неделя 13"/>
        <s v="[Время].[по неделям].[Год].&amp;[2023].&amp;[К2].&amp;[5]" c="Неделя 14"/>
        <s v="[Время].[по неделям].[Год].&amp;[2023].&amp;[К2].&amp;[6]" c="Неделя 15"/>
        <s v="[Время].[по неделям].[Год].&amp;[2023].&amp;[К2].&amp;[7]" c="Неделя 16"/>
        <s v="[Время].[по неделям].[Год].&amp;[2023].&amp;[К2].&amp;[8]" c="Неделя 17"/>
        <s v="[Время].[по неделям].[Год].&amp;[2023].&amp;[К2].&amp;[9]" c="Неделя 18"/>
        <s v="[Время].[по неделям].[Год].&amp;[2023].&amp;[К2].&amp;[10]" c="Неделя 19"/>
        <s v="[Время].[по неделям].[Год].&amp;[2023].&amp;[К2].&amp;[11]" c="Неделя 20"/>
        <s v="[Время].[по неделям].[Год].&amp;[2023].&amp;[К2].&amp;[12]" c="Неделя 21"/>
        <s v="[Время].[по неделям].[Год].&amp;[2023].&amp;[К2].&amp;[13]" c="Неделя 22"/>
        <s v="[Время].[по неделям].[Год].&amp;[2023].&amp;[К2].&amp;[14]" c="Неделя 23"/>
        <s v="[Время].[по неделям].[Год].&amp;[2023].&amp;[К2].&amp;[15]" c="Неделя 24"/>
        <s v="[Время].[по неделям].[Год].&amp;[2023].&amp;[К2].&amp;[16]" c="Неделя 25"/>
        <s v="[Время].[по неделям].[Год].&amp;[2023].&amp;[К2].&amp;[17]" c="Неделя 26"/>
        <s v="[Время].[по неделям].[Год].&amp;[2023].&amp;[К3].&amp;[18]" c="Неделя 27"/>
        <s v="[Время].[по неделям].[Год].&amp;[2023].&amp;[К3].&amp;[19]" c="Неделя 28"/>
        <s v="[Время].[по неделям].[Год].&amp;[2023].&amp;[К3].&amp;[20]" c="Неделя 29"/>
        <s v="[Время].[по неделям].[Год].&amp;[2023].&amp;[К3].&amp;[21]" c="Неделя 30"/>
        <s v="[Время].[по неделям].[Год].&amp;[2023].&amp;[К3].&amp;[22]" c="Неделя 31"/>
      </sharedItems>
    </cacheField>
    <cacheField name="[Measures].[Бюджетная стоимость]" caption="Бюджетная стоимость" numFmtId="0" hierarchy="29" level="32767"/>
    <cacheField name="[Measures].[Затраты]" caption="Затраты" numFmtId="0" hierarchy="31" level="32767"/>
    <cacheField name="[Measures].[Базовые бюджетные затраты]" caption="Базовые бюджетные затраты" numFmtId="0" hierarchy="27" level="32767"/>
    <cacheField name="[Measures].[Фактические затраты]" caption="Фактические затраты" numFmtId="0" hierarchy="24" level="32767"/>
  </cacheFields>
  <cacheHierarchies count="40">
    <cacheHierarchy uniqueName="[Время].[по неделям]" caption="по неделям" time="1" defaultMemberUniqueName="[Время].[по неделям].[Все]" allUniqueName="[Время].[по неделям].[Все]" dimensionUniqueName="[Время]" displayFolder="" count="4" unbalanced="0">
      <fieldsUsage count="4">
        <fieldUsage x="-1"/>
        <fieldUsage x="0"/>
        <fieldUsage x="1"/>
        <fieldUsage x="2"/>
      </fieldsUsage>
    </cacheHierarchy>
    <cacheHierarchy uniqueName="[Задачи].[Задачи]" caption="Задачи" defaultMemberUniqueName="[Задачи].[Задачи].[Все]" allUniqueName="[Задачи].[Задачи].[Все]" dimensionUniqueName="[Задачи]" displayFolder="" count="5" unbalanced="1"/>
    <cacheHierarchy uniqueName="[Время].[TIME_ID]" caption="TIME_ID" attribute="1" time="1" defaultMemberUniqueName="[Время].[TIME_ID].[Все]" allUniqueName="[Время].[TIME_ID].[Все]" dimensionUniqueName="[Время]" displayFolder="" count="0" unbalanced="0" hidden="1"/>
    <cacheHierarchy uniqueName="[Время].[TimeByDay]" caption="TimeByDay" attribute="1" time="1" keyAttribute="1" defaultMemberUniqueName="[Время].[TimeByDay].[Все]" allUniqueName="[Время].[TimeByDay].[Все]" dimensionUniqueName="[Время]" displayFolder="" count="0" memberValueDatatype="130" unbalanced="0" hidden="1"/>
    <cacheHierarchy uniqueName="[Время].[TimeNumericalWeekOfTheYear]" caption="TimeNumericalWeekOfTheYear" attribute="1" time="1" defaultMemberUniqueName="[Время].[TimeNumericalWeekOfTheYear].[Все]" allUniqueName="[Время].[TimeNumericalWeekOfTheYear].[Все]" dimensionUniqueName="[Время]" displayFolder="" count="0" unbalanced="0" hidden="1"/>
    <cacheHierarchy uniqueName="[Время].[TimeQuarter]" caption="TimeQuarter" attribute="1" time="1" defaultMemberUniqueName="[Время].[TimeQuarter].[Все]" allUniqueName="[Время].[TimeQuarter].[Все]" dimensionUniqueName="[Время]" displayFolder="" count="0" unbalanced="0" hidden="1"/>
    <cacheHierarchy uniqueName="[Время].[TimeYear]" caption="TimeYear" attribute="1" time="1" defaultMemberUniqueName="[Время].[TimeYear].[Все]" allUniqueName="[Время].[TimeYear].[Все]" dimensionUniqueName="[Время]" displayFolder="" count="0" unbalanced="0" hidden="1"/>
    <cacheHierarchy uniqueName="[Задачи].[TaskID]" caption="TaskID" attribute="1" defaultMemberUniqueName="[Задачи].[TaskID].[Все]" allUniqueName="[Задачи].[TaskID].[Все]" dimensionUniqueName="[Задачи]" displayFolder="" count="0" unbalanced="0" hidden="1"/>
    <cacheHierarchy uniqueName="[Задачи].[TaskUID]" caption="TaskUID" attribute="1" keyAttribute="1" defaultMemberUniqueName="[Задачи].[TaskUID].[Все]" allUniqueName="[Задачи].[TaskUID].[Все]" dimensionUniqueName="[Задачи]" displayFolder="" count="0" unbalanced="0" hidden="1"/>
    <cacheHierarchy uniqueName="[Задачи].[Базовая длительность]" caption="Базовая длительность" attribute="1" defaultMemberUniqueName="[Задачи].[Базовая длительность].[Все]" allUniqueName="[Задачи].[Базовая длительность].[Все]" dimensionUniqueName="[Задачи]" displayFolder="" count="0" unbalanced="0" hidden="1"/>
    <cacheHierarchy uniqueName="[Задачи].[Базовое начало]" caption="Базовое начало" attribute="1" defaultMemberUniqueName="[Задачи].[Базовое начало].[Все]" allUniqueName="[Задачи].[Базовое начало].[Все]" dimensionUniqueName="[Задачи]" displayFolder="" count="0" unbalanced="0" hidden="1"/>
    <cacheHierarchy uniqueName="[Задачи].[Базовое окончание]" caption="Базовое окончание" attribute="1" defaultMemberUniqueName="[Задачи].[Базовое окончание].[Все]" allUniqueName="[Задачи].[Базовое окончание].[Все]" dimensionUniqueName="[Задачи]" displayFolder="" count="0" unbalanced="0" hidden="1"/>
    <cacheHierarchy uniqueName="[Задачи].[Базовые затраты]" caption="Базовые затраты" attribute="1" defaultMemberUniqueName="[Задачи].[Базовые затраты].[Все]" allUniqueName="[Задачи].[Базовые затраты].[Все]" dimensionUniqueName="[Задачи]" displayFolder="" count="0" unbalanced="0" hidden="1"/>
    <cacheHierarchy uniqueName="[Задачи].[Базовые трудозатраты]" caption="Базовые трудозатраты" attribute="1" defaultMemberUniqueName="[Задачи].[Базовые трудозатраты].[Все]" allUniqueName="[Задачи].[Базовые трудозатраты].[Все]" dimensionUniqueName="[Задачи]" displayFolder="" count="0" unbalanced="0" hidden="1"/>
    <cacheHierarchy uniqueName="[Задачи].[Выравнивающая задержка]" caption="Выравнивающая задержка" attribute="1" defaultMemberUniqueName="[Задачи].[Выравнивающая задержка].[Все]" allUniqueName="[Задачи].[Выравнивающая задержка].[Все]" dimensionUniqueName="[Задачи]" displayFolder="" count="0" unbalanced="0" hidden="1"/>
    <cacheHierarchy uniqueName="[Задачи].[Дата ограничения]" caption="Дата ограничения" attribute="1" defaultMemberUniqueName="[Задачи].[Дата ограничения].[Все]" allUniqueName="[Задачи].[Дата ограничения].[Все]" dimensionUniqueName="[Задачи]" displayFolder="" count="0" unbalanced="0" hidden="1"/>
    <cacheHierarchy uniqueName="[Задачи].[Длительность]" caption="Длительность" attribute="1" defaultMemberUniqueName="[Задачи].[Длительность].[Все]" allUniqueName="[Задачи].[Длительность].[Все]" dimensionUniqueName="[Задачи]" displayFolder="" count="0" unbalanced="0" hidden="1"/>
    <cacheHierarchy uniqueName="[Задачи].[Начало]" caption="Начало" attribute="1" defaultMemberUniqueName="[Задачи].[Начало].[Все]" allUniqueName="[Задачи].[Начало].[Все]" dimensionUniqueName="[Задачи]" displayFolder="" count="0" unbalanced="0" hidden="1"/>
    <cacheHierarchy uniqueName="[Задачи].[Общий резерв времени]" caption="Общий резерв времени" attribute="1" defaultMemberUniqueName="[Задачи].[Общий резерв времени].[Все]" allUniqueName="[Задачи].[Общий резерв времени].[Все]" dimensionUniqueName="[Задачи]" displayFolder="" count="0" unbalanced="0" hidden="1"/>
    <cacheHierarchy uniqueName="[Задачи].[Окончание]" caption="Окончание" attribute="1" defaultMemberUniqueName="[Задачи].[Окончание].[Все]" allUniqueName="[Задачи].[Окончание].[Все]" dimensionUniqueName="[Задачи]" displayFolder="" count="0" unbalanced="0" hidden="1"/>
    <cacheHierarchy uniqueName="[Задачи].[Приоритет]" caption="Приоритет" attribute="1" defaultMemberUniqueName="[Задачи].[Приоритет].[Все]" allUniqueName="[Задачи].[Приоритет].[Все]" dimensionUniqueName="[Задачи]" displayFolder="" count="0" unbalanced="0" hidden="1"/>
    <cacheHierarchy uniqueName="[Задачи].[Свободный резерв времени]" caption="Свободный резерв времени" attribute="1" defaultMemberUniqueName="[Задачи].[Свободный резерв времени].[Все]" allUniqueName="[Задачи].[Свободный резерв времени].[Все]" dimensionUniqueName="[Задачи]" displayFolder="" count="0" unbalanced="0" hidden="1"/>
    <cacheHierarchy uniqueName="[Задачи].[СДР]" caption="СДР" attribute="1" defaultMemberUniqueName="[Задачи].[СДР].[Все]" allUniqueName="[Задачи].[СДР].[Все]" dimensionUniqueName="[Задачи]" displayFolder="" count="0" unbalanced="0" hidden="1"/>
    <cacheHierarchy uniqueName="[Задачи].[Физический процент завершения]" caption="Физический процент завершения" attribute="1" defaultMemberUniqueName="[Задачи].[Физический процент завершения].[Все]" allUniqueName="[Задачи].[Физический процент завершения].[Все]" dimensionUniqueName="[Задачи]" displayFolder="" count="0" unbalanced="0" hidden="1"/>
    <cacheHierarchy uniqueName="[Measures].[Фактические затраты]" caption="Фактические затраты" measure="1" displayFolder="" measureGroup="Значения" count="0" oneField="1">
      <fieldsUsage count="1">
        <fieldUsage x="6"/>
      </fieldsUsage>
    </cacheHierarchy>
    <cacheHierarchy uniqueName="[Measures].[Фактические сверхурочные трудозатраты]" caption="Фактические сверхурочные трудозатраты" measure="1" displayFolder="" measureGroup="Значения" count="0"/>
    <cacheHierarchy uniqueName="[Measures].[Фактические трудозатраты]" caption="Фактические трудозатраты" measure="1" displayFolder="" measureGroup="Значения" count="0"/>
    <cacheHierarchy uniqueName="[Measures].[Базовые бюджетные затраты]" caption="Базовые бюджетные затраты" measure="1" displayFolder="" measureGroup="Значения" count="0" oneField="1">
      <fieldsUsage count="1">
        <fieldUsage x="5"/>
      </fieldsUsage>
    </cacheHierarchy>
    <cacheHierarchy uniqueName="[Measures].[Базовые бюджетные трудозатраты]" caption="Базовые бюджетные трудозатраты" measure="1" displayFolder="" measureGroup="Значения" count="0"/>
    <cacheHierarchy uniqueName="[Measures].[Бюджетная стоимость]" caption="Бюджетная стоимость" measure="1" displayFolder="" measureGroup="Значения" count="0" oneField="1">
      <fieldsUsage count="1">
        <fieldUsage x="3"/>
      </fieldsUsage>
    </cacheHierarchy>
    <cacheHierarchy uniqueName="[Measures].[Бюджетные трудозатраты]" caption="Бюджетные трудозатраты" measure="1" displayFolder="" measureGroup="Значения" count="0"/>
    <cacheHierarchy uniqueName="[Measures].[Затраты]" caption="Затраты" measure="1" displayFolder="" measureGroup="Значения" count="0" oneField="1">
      <fieldsUsage count="1">
        <fieldUsage x="4"/>
      </fieldsUsage>
    </cacheHierarchy>
    <cacheHierarchy uniqueName="[Measures].[Фиксированные затраты]" caption="Фиксированные затраты" measure="1" displayFolder="" measureGroup="Значения" count="0"/>
    <cacheHierarchy uniqueName="[Measures].[Трудозатраты сверхурочно]" caption="Трудозатраты сверхурочно" measure="1" displayFolder="" measureGroup="Значения" count="0"/>
    <cacheHierarchy uniqueName="[Measures].[Обычные трудозатраты]" caption="Обычные трудозатраты" measure="1" displayFolder="" measureGroup="Значения" count="0"/>
    <cacheHierarchy uniqueName="[Measures].[Трудозатраты]" caption="Трудозатраты" measure="1" displayFolder="" measureGroup="Значения" count="0"/>
    <cacheHierarchy uniqueName="[Measures].[Совокупные затраты]" caption="Совокупные затраты" measure="1" displayFolder="" count="0"/>
    <cacheHierarchy uniqueName="[Measures].[Совокупные трудозатраты]" caption="Совокупные трудозатраты" measure="1" displayFolder="" count="0"/>
    <cacheHierarchy uniqueName="[Measures].[_ADRCUMULCOST]" caption="_ADRCUMULCOST" measure="1" displayFolder="" measureGroup="Значения" count="0" hidden="1"/>
    <cacheHierarchy uniqueName="[Measures].[_ADRCUMULWORK]" caption="_ADRCUMULWORK" measure="1" displayFolder="" measureGroup="Значения" count="0" hidden="1"/>
  </cacheHierarchies>
  <kpis count="0"/>
  <dimensions count="3">
    <dimension measure="1" name="Measures" uniqueName="[Measures]" caption="Measures"/>
    <dimension name="Время" uniqueName="[Время]" caption="Время"/>
    <dimension name="Задачи" uniqueName="[Задачи]" caption="Задачи"/>
  </dimensions>
  <measureGroups count="1">
    <measureGroup name="Значения" caption="Значения"/>
  </measureGroups>
  <maps count="2">
    <map measureGroup="0" dimension="1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port" cacheId="119" applyNumberFormats="0" applyBorderFormats="0" applyFontFormats="0" applyPatternFormats="0" applyAlignmentFormats="0" applyWidthHeightFormats="1" dataCaption="Данные" updatedVersion="5" minRefreshableVersion="3" useAutoFormatting="1" subtotalHiddenItems="1" itemPrintTitles="1" createdVersion="5" indent="0" compact="0" compactData="0" gridDropZones="1" fieldListSortAscending="1">
  <location ref="A1:G30" firstHeaderRow="1" firstDataRow="2" firstDataCol="3"/>
  <pivotFields count="7">
    <pivotField axis="axisRow" compact="0" allDrilled="1" outline="0" showAll="0" dataSourceSort="1">
      <items count="2">
        <item c="1" x="0" d="1"/>
        <item t="default"/>
      </items>
    </pivotField>
    <pivotField axis="axisRow" compact="0" outline="0" showAll="0" dataSourceSort="1">
      <items count="4">
        <item c="1" x="0" d="1"/>
        <item c="1" x="1" d="1"/>
        <item c="1" x="2" d="1"/>
        <item t="default"/>
      </items>
    </pivotField>
    <pivotField axis="axisRow" compact="0" outline="0" showAll="0" dataSourceSort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3">
    <field x="0"/>
    <field x="1"/>
    <field x="2"/>
  </rowFields>
  <rowItems count="28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t="default" r="1">
      <x v="1"/>
    </i>
    <i r="1">
      <x v="2"/>
      <x v="18"/>
    </i>
    <i r="2">
      <x v="19"/>
    </i>
    <i r="2">
      <x v="20"/>
    </i>
    <i r="2">
      <x v="21"/>
    </i>
    <i r="2">
      <x v="22"/>
    </i>
    <i t="default" r="1">
      <x v="2"/>
    </i>
    <i t="default"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3" baseField="0" baseItem="0"/>
    <dataField fld="4" baseField="0" baseItem="0"/>
    <dataField fld="5" baseField="0" baseItem="0"/>
    <dataField fld="6" baseField="0" baseItem="0"/>
  </dataFields>
  <pivotHierarchies count="40">
    <pivotHierarchy includeNewItemsInFilter="1"/>
    <pivotHierarchy includeNewItemsInFilter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abSelected="1" workbookViewId="0">
      <selection activeCell="B23" sqref="B23"/>
    </sheetView>
  </sheetViews>
  <sheetFormatPr defaultRowHeight="14.6" x14ac:dyDescent="0.4"/>
  <cols>
    <col min="1" max="1" width="7.765625" customWidth="1"/>
    <col min="2" max="2" width="7.84375" customWidth="1"/>
    <col min="3" max="3" width="9.61328125" customWidth="1"/>
    <col min="4" max="4" width="20" customWidth="1"/>
    <col min="5" max="5" width="11.84375" customWidth="1"/>
    <col min="6" max="6" width="26.07421875" customWidth="1"/>
    <col min="7" max="7" width="18.921875" customWidth="1"/>
    <col min="8" max="8" width="18.53515625" customWidth="1"/>
    <col min="9" max="9" width="18.921875" bestFit="1" customWidth="1"/>
  </cols>
  <sheetData>
    <row r="1" spans="1:7" x14ac:dyDescent="0.4">
      <c r="A1" s="1"/>
      <c r="B1" s="2"/>
      <c r="C1" s="2"/>
      <c r="D1" s="5" t="s">
        <v>1</v>
      </c>
      <c r="E1" s="2"/>
      <c r="F1" s="2"/>
      <c r="G1" s="3"/>
    </row>
    <row r="2" spans="1:7" x14ac:dyDescent="0.4">
      <c r="A2" s="5" t="s">
        <v>2</v>
      </c>
      <c r="B2" s="5" t="s">
        <v>7</v>
      </c>
      <c r="C2" s="5" t="s">
        <v>11</v>
      </c>
      <c r="D2" s="1" t="s">
        <v>5</v>
      </c>
      <c r="E2" s="12" t="s">
        <v>6</v>
      </c>
      <c r="F2" s="12" t="s">
        <v>0</v>
      </c>
      <c r="G2" s="13" t="s">
        <v>17</v>
      </c>
    </row>
    <row r="3" spans="1:7" x14ac:dyDescent="0.4">
      <c r="A3" s="1" t="s">
        <v>3</v>
      </c>
      <c r="B3" s="1" t="s">
        <v>8</v>
      </c>
      <c r="C3" s="1" t="s">
        <v>12</v>
      </c>
      <c r="D3" s="7">
        <v>0</v>
      </c>
      <c r="E3" s="14">
        <v>1730.9499999999998</v>
      </c>
      <c r="F3" s="14">
        <v>0</v>
      </c>
      <c r="G3" s="15">
        <v>1730.9448311796496</v>
      </c>
    </row>
    <row r="4" spans="1:7" x14ac:dyDescent="0.4">
      <c r="A4" s="4"/>
      <c r="B4" s="4"/>
      <c r="C4" s="10" t="s">
        <v>13</v>
      </c>
      <c r="D4" s="11">
        <v>0</v>
      </c>
      <c r="E4" s="18">
        <v>996.10000000000014</v>
      </c>
      <c r="F4" s="18">
        <v>0</v>
      </c>
      <c r="G4" s="19">
        <v>996.09715642386027</v>
      </c>
    </row>
    <row r="5" spans="1:7" x14ac:dyDescent="0.4">
      <c r="A5" s="4"/>
      <c r="B5" s="4"/>
      <c r="C5" s="10" t="s">
        <v>14</v>
      </c>
      <c r="D5" s="11">
        <v>0</v>
      </c>
      <c r="E5" s="18">
        <v>1070.52</v>
      </c>
      <c r="F5" s="18">
        <v>0</v>
      </c>
      <c r="G5" s="19">
        <v>1070.5214455298253</v>
      </c>
    </row>
    <row r="6" spans="1:7" x14ac:dyDescent="0.4">
      <c r="A6" s="4"/>
      <c r="B6" s="4"/>
      <c r="C6" s="10" t="s">
        <v>15</v>
      </c>
      <c r="D6" s="11">
        <v>0</v>
      </c>
      <c r="E6" s="18">
        <v>1847.32</v>
      </c>
      <c r="F6" s="18">
        <v>0</v>
      </c>
      <c r="G6" s="19">
        <v>1847.3214455298253</v>
      </c>
    </row>
    <row r="7" spans="1:7" x14ac:dyDescent="0.4">
      <c r="A7" s="4"/>
      <c r="B7" s="4"/>
      <c r="C7" s="10" t="s">
        <v>16</v>
      </c>
      <c r="D7" s="11">
        <v>0</v>
      </c>
      <c r="E7" s="18">
        <v>2200.1999999999998</v>
      </c>
      <c r="F7" s="18">
        <v>0</v>
      </c>
      <c r="G7" s="19">
        <v>2003.0385939636242</v>
      </c>
    </row>
    <row r="8" spans="1:7" x14ac:dyDescent="0.4">
      <c r="A8" s="4"/>
      <c r="B8" s="1" t="s">
        <v>18</v>
      </c>
      <c r="C8" s="2"/>
      <c r="D8" s="7">
        <v>0</v>
      </c>
      <c r="E8" s="14">
        <v>7845.09</v>
      </c>
      <c r="F8" s="14">
        <v>0</v>
      </c>
      <c r="G8" s="15">
        <v>7647.923472626785</v>
      </c>
    </row>
    <row r="9" spans="1:7" x14ac:dyDescent="0.4">
      <c r="A9" s="4"/>
      <c r="B9" s="1" t="s">
        <v>9</v>
      </c>
      <c r="C9" s="1" t="s">
        <v>22</v>
      </c>
      <c r="D9" s="7">
        <v>0</v>
      </c>
      <c r="E9" s="14">
        <v>2902.2015207219665</v>
      </c>
      <c r="F9" s="14">
        <v>0</v>
      </c>
      <c r="G9" s="15">
        <v>2818.2001146855905</v>
      </c>
    </row>
    <row r="10" spans="1:7" x14ac:dyDescent="0.4">
      <c r="A10" s="4"/>
      <c r="B10" s="4"/>
      <c r="C10" s="10" t="s">
        <v>23</v>
      </c>
      <c r="D10" s="11">
        <v>0</v>
      </c>
      <c r="E10" s="18">
        <v>2804.3516440237481</v>
      </c>
      <c r="F10" s="18">
        <v>0</v>
      </c>
      <c r="G10" s="19">
        <v>2807.2305484080875</v>
      </c>
    </row>
    <row r="11" spans="1:7" x14ac:dyDescent="0.4">
      <c r="A11" s="4"/>
      <c r="B11" s="4"/>
      <c r="C11" s="10" t="s">
        <v>24</v>
      </c>
      <c r="D11" s="11">
        <v>0</v>
      </c>
      <c r="E11" s="18">
        <v>2504.5174750401256</v>
      </c>
      <c r="F11" s="18">
        <v>0</v>
      </c>
      <c r="G11" s="19">
        <v>2542.947131023544</v>
      </c>
    </row>
    <row r="12" spans="1:7" x14ac:dyDescent="0.4">
      <c r="A12" s="4"/>
      <c r="B12" s="4"/>
      <c r="C12" s="10" t="s">
        <v>25</v>
      </c>
      <c r="D12" s="11">
        <v>0</v>
      </c>
      <c r="E12" s="18">
        <v>2114.5300477227597</v>
      </c>
      <c r="F12" s="18">
        <v>0</v>
      </c>
      <c r="G12" s="19">
        <v>2152.9604729369471</v>
      </c>
    </row>
    <row r="13" spans="1:7" x14ac:dyDescent="0.4">
      <c r="A13" s="4"/>
      <c r="B13" s="4"/>
      <c r="C13" s="10" t="s">
        <v>26</v>
      </c>
      <c r="D13" s="11">
        <v>0</v>
      </c>
      <c r="E13" s="18">
        <v>1959.3275347878</v>
      </c>
      <c r="F13" s="18">
        <v>0</v>
      </c>
      <c r="G13" s="19">
        <v>1850.273955023521</v>
      </c>
    </row>
    <row r="14" spans="1:7" x14ac:dyDescent="0.4">
      <c r="A14" s="4"/>
      <c r="B14" s="4"/>
      <c r="C14" s="10" t="s">
        <v>27</v>
      </c>
      <c r="D14" s="11">
        <v>0</v>
      </c>
      <c r="E14" s="18">
        <v>1621.092317135651</v>
      </c>
      <c r="F14" s="18">
        <v>0</v>
      </c>
      <c r="G14" s="19">
        <v>1470.425358086364</v>
      </c>
    </row>
    <row r="15" spans="1:7" x14ac:dyDescent="0.4">
      <c r="A15" s="4"/>
      <c r="B15" s="4"/>
      <c r="C15" s="10" t="s">
        <v>28</v>
      </c>
      <c r="D15" s="11">
        <v>0</v>
      </c>
      <c r="E15" s="18">
        <v>2699.8200897862648</v>
      </c>
      <c r="F15" s="18">
        <v>0</v>
      </c>
      <c r="G15" s="19">
        <v>65.326646501255311</v>
      </c>
    </row>
    <row r="16" spans="1:7" x14ac:dyDescent="0.4">
      <c r="A16" s="4"/>
      <c r="B16" s="4"/>
      <c r="C16" s="10" t="s">
        <v>29</v>
      </c>
      <c r="D16" s="11">
        <v>0</v>
      </c>
      <c r="E16" s="18">
        <v>2649.8200897862639</v>
      </c>
      <c r="F16" s="18">
        <v>0</v>
      </c>
      <c r="G16" s="19">
        <v>59.631773796804737</v>
      </c>
    </row>
    <row r="17" spans="1:7" x14ac:dyDescent="0.4">
      <c r="A17" s="4"/>
      <c r="B17" s="4"/>
      <c r="C17" s="10" t="s">
        <v>30</v>
      </c>
      <c r="D17" s="11">
        <v>0</v>
      </c>
      <c r="E17" s="18">
        <v>2576.8300897862637</v>
      </c>
      <c r="F17" s="18">
        <v>0</v>
      </c>
      <c r="G17" s="19">
        <v>59.631773796804737</v>
      </c>
    </row>
    <row r="18" spans="1:7" x14ac:dyDescent="0.4">
      <c r="A18" s="4"/>
      <c r="B18" s="4"/>
      <c r="C18" s="10" t="s">
        <v>31</v>
      </c>
      <c r="D18" s="11">
        <v>0</v>
      </c>
      <c r="E18" s="18">
        <v>2010.8833398394363</v>
      </c>
      <c r="F18" s="18">
        <v>0</v>
      </c>
      <c r="G18" s="19">
        <v>59.631773796804737</v>
      </c>
    </row>
    <row r="19" spans="1:7" x14ac:dyDescent="0.4">
      <c r="A19" s="4"/>
      <c r="B19" s="4"/>
      <c r="C19" s="10" t="s">
        <v>32</v>
      </c>
      <c r="D19" s="11">
        <v>0</v>
      </c>
      <c r="E19" s="18">
        <v>1595.4</v>
      </c>
      <c r="F19" s="18">
        <v>0</v>
      </c>
      <c r="G19" s="19">
        <v>5.4463686734414987</v>
      </c>
    </row>
    <row r="20" spans="1:7" x14ac:dyDescent="0.4">
      <c r="A20" s="4"/>
      <c r="B20" s="4"/>
      <c r="C20" s="10" t="s">
        <v>33</v>
      </c>
      <c r="D20" s="11">
        <v>0</v>
      </c>
      <c r="E20" s="18">
        <v>2882.211666666667</v>
      </c>
      <c r="F20" s="18">
        <v>0</v>
      </c>
      <c r="G20" s="19">
        <v>0</v>
      </c>
    </row>
    <row r="21" spans="1:7" x14ac:dyDescent="0.4">
      <c r="A21" s="4"/>
      <c r="B21" s="4"/>
      <c r="C21" s="10" t="s">
        <v>34</v>
      </c>
      <c r="D21" s="11">
        <v>0</v>
      </c>
      <c r="E21" s="18">
        <v>3152.686666666667</v>
      </c>
      <c r="F21" s="18">
        <v>0</v>
      </c>
      <c r="G21" s="19">
        <v>0</v>
      </c>
    </row>
    <row r="22" spans="1:7" x14ac:dyDescent="0.4">
      <c r="A22" s="4"/>
      <c r="B22" s="1" t="s">
        <v>19</v>
      </c>
      <c r="C22" s="2"/>
      <c r="D22" s="7">
        <v>0</v>
      </c>
      <c r="E22" s="14">
        <v>31473.672481963618</v>
      </c>
      <c r="F22" s="14">
        <v>0</v>
      </c>
      <c r="G22" s="15">
        <v>13891.705916729166</v>
      </c>
    </row>
    <row r="23" spans="1:7" x14ac:dyDescent="0.4">
      <c r="A23" s="4"/>
      <c r="B23" s="1" t="s">
        <v>10</v>
      </c>
      <c r="C23" s="1" t="s">
        <v>35</v>
      </c>
      <c r="D23" s="7">
        <v>0</v>
      </c>
      <c r="E23" s="14">
        <v>1461.5466666666666</v>
      </c>
      <c r="F23" s="14">
        <v>0</v>
      </c>
      <c r="G23" s="15">
        <v>0</v>
      </c>
    </row>
    <row r="24" spans="1:7" x14ac:dyDescent="0.4">
      <c r="A24" s="4"/>
      <c r="B24" s="4"/>
      <c r="C24" s="10" t="s">
        <v>36</v>
      </c>
      <c r="D24" s="11">
        <v>0</v>
      </c>
      <c r="E24" s="18">
        <v>1221.8800000000001</v>
      </c>
      <c r="F24" s="18">
        <v>0</v>
      </c>
      <c r="G24" s="19">
        <v>0</v>
      </c>
    </row>
    <row r="25" spans="1:7" x14ac:dyDescent="0.4">
      <c r="A25" s="4"/>
      <c r="B25" s="4"/>
      <c r="C25" s="10" t="s">
        <v>37</v>
      </c>
      <c r="D25" s="11">
        <v>0</v>
      </c>
      <c r="E25" s="18">
        <v>2614.1137437964303</v>
      </c>
      <c r="F25" s="18">
        <v>0</v>
      </c>
      <c r="G25" s="19">
        <v>0</v>
      </c>
    </row>
    <row r="26" spans="1:7" x14ac:dyDescent="0.4">
      <c r="A26" s="4"/>
      <c r="B26" s="4"/>
      <c r="C26" s="10" t="s">
        <v>38</v>
      </c>
      <c r="D26" s="11">
        <v>0</v>
      </c>
      <c r="E26" s="18">
        <v>2515.2805605910899</v>
      </c>
      <c r="F26" s="18">
        <v>0</v>
      </c>
      <c r="G26" s="19">
        <v>0</v>
      </c>
    </row>
    <row r="27" spans="1:7" x14ac:dyDescent="0.4">
      <c r="A27" s="4"/>
      <c r="B27" s="4"/>
      <c r="C27" s="10" t="s">
        <v>39</v>
      </c>
      <c r="D27" s="11">
        <v>0</v>
      </c>
      <c r="E27" s="18">
        <v>1229.1752128335033</v>
      </c>
      <c r="F27" s="18">
        <v>0</v>
      </c>
      <c r="G27" s="19">
        <v>0</v>
      </c>
    </row>
    <row r="28" spans="1:7" x14ac:dyDescent="0.4">
      <c r="A28" s="4"/>
      <c r="B28" s="1" t="s">
        <v>20</v>
      </c>
      <c r="C28" s="2"/>
      <c r="D28" s="7">
        <v>0</v>
      </c>
      <c r="E28" s="14">
        <v>9041.9961838876898</v>
      </c>
      <c r="F28" s="14">
        <v>0</v>
      </c>
      <c r="G28" s="15">
        <v>0</v>
      </c>
    </row>
    <row r="29" spans="1:7" x14ac:dyDescent="0.4">
      <c r="A29" s="1" t="s">
        <v>21</v>
      </c>
      <c r="B29" s="2"/>
      <c r="C29" s="2"/>
      <c r="D29" s="7">
        <v>0</v>
      </c>
      <c r="E29" s="14">
        <v>48360.75866585131</v>
      </c>
      <c r="F29" s="14">
        <v>0</v>
      </c>
      <c r="G29" s="15">
        <v>21539.629389355952</v>
      </c>
    </row>
    <row r="30" spans="1:7" x14ac:dyDescent="0.4">
      <c r="A30" s="6" t="s">
        <v>4</v>
      </c>
      <c r="B30" s="8"/>
      <c r="C30" s="8"/>
      <c r="D30" s="9">
        <v>0</v>
      </c>
      <c r="E30" s="16">
        <v>48360.75866585131</v>
      </c>
      <c r="F30" s="16">
        <v>0</v>
      </c>
      <c r="G30" s="17">
        <v>21539.629389355952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алена зайцева</dc:creator>
  <cp:lastModifiedBy>алена зайцева</cp:lastModifiedBy>
  <dcterms:created xsi:type="dcterms:W3CDTF">2023-03-11T18:20:35Z</dcterms:created>
  <dcterms:modified xsi:type="dcterms:W3CDTF">2023-03-11T18:29:27Z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